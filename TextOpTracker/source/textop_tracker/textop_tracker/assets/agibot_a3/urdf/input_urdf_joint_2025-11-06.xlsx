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iemens\swcache\URDF\A3-T1-NEW\0000008889_A3_Lite_URDF-1108\urdf\"/>
    </mc:Choice>
  </mc:AlternateContent>
  <bookViews>
    <workbookView xWindow="0" yWindow="0" windowWidth="38400" windowHeight="17640"/>
  </bookViews>
  <sheets>
    <sheet name="inpu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 l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3" i="1"/>
</calcChain>
</file>

<file path=xl/sharedStrings.xml><?xml version="1.0" encoding="utf-8"?>
<sst xmlns="http://schemas.openxmlformats.org/spreadsheetml/2006/main" count="65" uniqueCount="59">
  <si>
    <t>left_hip_yaw_joint</t>
  </si>
  <si>
    <t>left_hip_pitch_joint</t>
  </si>
  <si>
    <t>left_hip_roll_joint</t>
  </si>
  <si>
    <t>left_knee_joint</t>
  </si>
  <si>
    <t>left_ankle_pitch_joint</t>
  </si>
  <si>
    <t>left_ankle_roll_joint</t>
  </si>
  <si>
    <t>right_hip_yaw_joint</t>
  </si>
  <si>
    <t>right_hip_pitch_joint</t>
  </si>
  <si>
    <t>right_hip_roll_joint</t>
  </si>
  <si>
    <t>right_knee_joint</t>
  </si>
  <si>
    <t>right_ankle_pitch_joint</t>
  </si>
  <si>
    <t>right_ankle_roll_joint</t>
  </si>
  <si>
    <t>left_shoulder_pitch_joint</t>
  </si>
  <si>
    <t>left_shoulder_roll_joint</t>
  </si>
  <si>
    <t>left_shoulder_yaw_joint</t>
  </si>
  <si>
    <t>left_elbow_joint</t>
  </si>
  <si>
    <t>left_wrist_roll_joint</t>
  </si>
  <si>
    <t>left_wrist_pitch_joint</t>
  </si>
  <si>
    <t>left_wrist_yaw_joint</t>
  </si>
  <si>
    <t>right_shoulder_pitch_joint</t>
  </si>
  <si>
    <t>right_shoulder_roll_joint</t>
  </si>
  <si>
    <t>right_shoulder_yaw_joint</t>
  </si>
  <si>
    <t>right_elbow_joint</t>
  </si>
  <si>
    <t>right_wrist_roll_joint</t>
  </si>
  <si>
    <t>right_wrist_pitch_joint</t>
  </si>
  <si>
    <t>right_wrist_yaw_joint</t>
  </si>
  <si>
    <t>waist_yaw_joint</t>
  </si>
  <si>
    <t>waist_roll_joint</t>
  </si>
  <si>
    <t>waist_pitch_joint</t>
  </si>
  <si>
    <t>joint</t>
  </si>
  <si>
    <t>velocity</t>
  </si>
  <si>
    <t>head_joint</t>
  </si>
  <si>
    <t>imu_in_torso_joint</t>
  </si>
  <si>
    <t>imu_in_pelvis_joint</t>
  </si>
  <si>
    <t>left_hand_palm_joint</t>
  </si>
  <si>
    <t>right_hand_palm_joint</t>
  </si>
  <si>
    <t>p</t>
  </si>
  <si>
    <t>r</t>
  </si>
  <si>
    <t>y</t>
  </si>
  <si>
    <t>origin_x</t>
  </si>
  <si>
    <t xml:space="preserve"> origin_y</t>
  </si>
  <si>
    <t>origin_z</t>
  </si>
  <si>
    <t>axis_x</t>
  </si>
  <si>
    <t>axis_y</t>
  </si>
  <si>
    <t>axis_z</t>
  </si>
  <si>
    <t>effort</t>
    <phoneticPr fontId="1" type="noConversion"/>
  </si>
  <si>
    <t>lower</t>
    <phoneticPr fontId="1" type="noConversion"/>
  </si>
  <si>
    <t>upper</t>
    <phoneticPr fontId="1" type="noConversion"/>
  </si>
  <si>
    <t>unit</t>
    <phoneticPr fontId="1" type="noConversion"/>
  </si>
  <si>
    <t>Nm</t>
    <phoneticPr fontId="1" type="noConversion"/>
  </si>
  <si>
    <t>rad/s</t>
    <phoneticPr fontId="1" type="noConversion"/>
  </si>
  <si>
    <t>m</t>
    <phoneticPr fontId="1" type="noConversion"/>
  </si>
  <si>
    <t>rad</t>
    <phoneticPr fontId="1" type="noConversion"/>
  </si>
  <si>
    <t>v_rpm</t>
    <phoneticPr fontId="1" type="noConversion"/>
  </si>
  <si>
    <t>lower_deg</t>
    <phoneticPr fontId="1" type="noConversion"/>
  </si>
  <si>
    <t>upper_deg</t>
    <phoneticPr fontId="1" type="noConversion"/>
  </si>
  <si>
    <t>deg</t>
    <phoneticPr fontId="1" type="noConversion"/>
  </si>
  <si>
    <t>deg</t>
    <phoneticPr fontId="1" type="noConversion"/>
  </si>
  <si>
    <t>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</si>
</sst>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0"/>
    <numFmt numFmtId="177" formatCode="0.0000"/>
    <numFmt numFmtId="178" formatCode="0.000000"/>
    <numFmt numFmtId="179" formatCode="0.0"/>
    <numFmt numFmtId="180" formatCode="0_);[Red]\(0\)"/>
  </numFmts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8" borderId="0" xfId="0" applyFill="1">
      <alignment vertical="center"/>
    </xf>
    <xf numFmtId="0" fontId="2" fillId="0" borderId="0" xfId="0" applyFont="1">
      <alignment vertical="center"/>
    </xf>
    <xf numFmtId="0" fontId="4" fillId="2" borderId="0" xfId="0" applyFont="1" applyFill="1" applyBorder="1">
      <alignment vertical="center"/>
    </xf>
    <xf numFmtId="177" fontId="0" fillId="6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7" borderId="0" xfId="0" applyNumberFormat="1" applyFill="1">
      <alignment vertical="center"/>
    </xf>
    <xf numFmtId="177" fontId="0" fillId="5" borderId="0" xfId="0" applyNumberFormat="1" applyFill="1">
      <alignment vertical="center"/>
    </xf>
    <xf numFmtId="177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  <xf numFmtId="177" fontId="0" fillId="8" borderId="0" xfId="0" applyNumberForma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0" fillId="6" borderId="0" xfId="0" applyNumberFormat="1" applyFill="1">
      <alignment vertical="center"/>
    </xf>
    <xf numFmtId="178" fontId="0" fillId="0" borderId="0" xfId="0" applyNumberFormat="1">
      <alignment vertical="center"/>
    </xf>
    <xf numFmtId="178" fontId="0" fillId="7" borderId="0" xfId="0" applyNumberFormat="1" applyFill="1">
      <alignment vertical="center"/>
    </xf>
    <xf numFmtId="178" fontId="0" fillId="5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4" borderId="0" xfId="0" applyNumberFormat="1" applyFill="1">
      <alignment vertical="center"/>
    </xf>
    <xf numFmtId="178" fontId="0" fillId="8" borderId="0" xfId="0" applyNumberFormat="1" applyFill="1">
      <alignment vertical="center"/>
    </xf>
    <xf numFmtId="0" fontId="5" fillId="6" borderId="0" xfId="0" applyFont="1" applyFill="1">
      <alignment vertical="center"/>
    </xf>
    <xf numFmtId="176" fontId="5" fillId="6" borderId="0" xfId="0" applyNumberFormat="1" applyFont="1" applyFill="1" applyAlignment="1">
      <alignment horizontal="right"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 applyAlignment="1">
      <alignment horizontal="right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7" borderId="0" xfId="0" applyFont="1" applyFill="1">
      <alignment vertical="center"/>
    </xf>
    <xf numFmtId="176" fontId="5" fillId="7" borderId="0" xfId="0" applyNumberFormat="1" applyFont="1" applyFill="1" applyAlignment="1">
      <alignment horizontal="right" vertical="center"/>
    </xf>
    <xf numFmtId="0" fontId="5" fillId="5" borderId="0" xfId="0" applyFont="1" applyFill="1">
      <alignment vertical="center"/>
    </xf>
    <xf numFmtId="176" fontId="5" fillId="5" borderId="0" xfId="0" applyNumberFormat="1" applyFont="1" applyFill="1" applyAlignment="1">
      <alignment horizontal="right" vertical="center"/>
    </xf>
    <xf numFmtId="0" fontId="5" fillId="3" borderId="0" xfId="0" applyFont="1" applyFill="1">
      <alignment vertical="center"/>
    </xf>
    <xf numFmtId="176" fontId="5" fillId="3" borderId="0" xfId="0" applyNumberFormat="1" applyFont="1" applyFill="1" applyAlignment="1">
      <alignment horizontal="right" vertical="center"/>
    </xf>
    <xf numFmtId="0" fontId="5" fillId="4" borderId="0" xfId="0" applyFont="1" applyFill="1">
      <alignment vertical="center"/>
    </xf>
    <xf numFmtId="176" fontId="5" fillId="4" borderId="0" xfId="0" applyNumberFormat="1" applyFont="1" applyFill="1" applyAlignment="1">
      <alignment horizontal="right" vertical="center"/>
    </xf>
    <xf numFmtId="0" fontId="5" fillId="8" borderId="0" xfId="0" applyFont="1" applyFill="1">
      <alignment vertical="center"/>
    </xf>
    <xf numFmtId="176" fontId="5" fillId="8" borderId="0" xfId="0" applyNumberFormat="1" applyFont="1" applyFill="1" applyAlignment="1">
      <alignment horizontal="right" vertical="center"/>
    </xf>
    <xf numFmtId="0" fontId="6" fillId="4" borderId="0" xfId="0" applyFont="1" applyFill="1">
      <alignment vertical="center"/>
    </xf>
    <xf numFmtId="176" fontId="6" fillId="4" borderId="0" xfId="0" applyNumberFormat="1" applyFont="1" applyFill="1" applyAlignment="1">
      <alignment horizontal="right" vertical="center"/>
    </xf>
    <xf numFmtId="0" fontId="6" fillId="8" borderId="0" xfId="0" applyFont="1" applyFill="1">
      <alignment vertical="center"/>
    </xf>
    <xf numFmtId="176" fontId="6" fillId="8" borderId="0" xfId="0" applyNumberFormat="1" applyFont="1" applyFill="1" applyAlignment="1">
      <alignment horizontal="right" vertical="center"/>
    </xf>
    <xf numFmtId="180" fontId="0" fillId="6" borderId="0" xfId="0" applyNumberForma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7" borderId="0" xfId="0" applyNumberFormat="1" applyFill="1" applyAlignment="1">
      <alignment horizontal="center" vertical="center"/>
    </xf>
    <xf numFmtId="177" fontId="6" fillId="5" borderId="0" xfId="0" applyNumberFormat="1" applyFont="1" applyFill="1">
      <alignment vertical="center"/>
    </xf>
    <xf numFmtId="177" fontId="6" fillId="3" borderId="0" xfId="0" applyNumberFormat="1" applyFont="1" applyFill="1">
      <alignment vertical="center"/>
    </xf>
    <xf numFmtId="177" fontId="6" fillId="4" borderId="0" xfId="0" applyNumberFormat="1" applyFont="1" applyFill="1">
      <alignment vertical="center"/>
    </xf>
    <xf numFmtId="177" fontId="6" fillId="8" borderId="0" xfId="0" applyNumberFormat="1" applyFont="1" applyFill="1">
      <alignment vertical="center"/>
    </xf>
    <xf numFmtId="180" fontId="8" fillId="5" borderId="0" xfId="0" applyNumberFormat="1" applyFont="1" applyFill="1" applyAlignment="1">
      <alignment horizontal="center" vertical="center"/>
    </xf>
    <xf numFmtId="180" fontId="8" fillId="3" borderId="0" xfId="0" applyNumberFormat="1" applyFont="1" applyFill="1" applyAlignment="1">
      <alignment horizontal="center" vertical="center"/>
    </xf>
    <xf numFmtId="180" fontId="8" fillId="7" borderId="0" xfId="0" applyNumberFormat="1" applyFont="1" applyFill="1" applyAlignment="1">
      <alignment horizontal="center" vertical="center"/>
    </xf>
    <xf numFmtId="180" fontId="8" fillId="4" borderId="0" xfId="0" applyNumberFormat="1" applyFont="1" applyFill="1" applyAlignment="1">
      <alignment horizontal="center" vertical="center"/>
    </xf>
    <xf numFmtId="180" fontId="8" fillId="8" borderId="0" xfId="0" applyNumberFormat="1" applyFont="1" applyFill="1" applyAlignment="1">
      <alignment horizontal="center" vertical="center"/>
    </xf>
    <xf numFmtId="0" fontId="7" fillId="6" borderId="0" xfId="0" applyFont="1" applyFill="1">
      <alignment vertical="center"/>
    </xf>
    <xf numFmtId="0" fontId="7" fillId="0" borderId="0" xfId="0" applyFont="1">
      <alignment vertical="center"/>
    </xf>
    <xf numFmtId="0" fontId="7" fillId="7" borderId="0" xfId="0" applyFont="1" applyFill="1">
      <alignment vertical="center"/>
    </xf>
    <xf numFmtId="0" fontId="7" fillId="5" borderId="0" xfId="0" applyFont="1" applyFill="1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8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179" fontId="6" fillId="6" borderId="0" xfId="0" applyNumberFormat="1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7" borderId="0" xfId="0" applyNumberFormat="1" applyFont="1" applyFill="1" applyAlignment="1">
      <alignment horizontal="center" vertical="center"/>
    </xf>
    <xf numFmtId="179" fontId="5" fillId="5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79" fontId="6" fillId="4" borderId="0" xfId="0" applyNumberFormat="1" applyFont="1" applyFill="1" applyAlignment="1">
      <alignment horizontal="center" vertical="center"/>
    </xf>
    <xf numFmtId="179" fontId="5" fillId="8" borderId="0" xfId="0" applyNumberFormat="1" applyFont="1" applyFill="1" applyAlignment="1">
      <alignment horizontal="center" vertical="center"/>
    </xf>
    <xf numFmtId="179" fontId="6" fillId="8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36"/>
  <sheetViews>
    <sheetView tabSelected="1" workbookViewId="0">
      <selection activeCell="J34" sqref="J34"/>
    </sheetView>
  </sheetViews>
  <sheetFormatPr defaultRowHeight="14.25"/>
  <cols>
    <col min="1" max="1" width="23.25" bestFit="1" customWidth="1"/>
    <col min="2" max="2" width="8.75" customWidth="1"/>
    <col min="3" max="3" width="11.125" customWidth="1"/>
    <col min="4" max="6" width="9.5" customWidth="1"/>
    <col min="7" max="9" width="8.75" customWidth="1"/>
    <col min="10" max="12" width="6.25" customWidth="1"/>
    <col min="13" max="14" width="9.625" customWidth="1"/>
    <col min="15" max="16" width="12.625" style="19" customWidth="1"/>
    <col min="17" max="17" width="11.125" style="19" customWidth="1"/>
  </cols>
  <sheetData>
    <row r="1" spans="1:17" ht="15">
      <c r="A1" s="1" t="s">
        <v>29</v>
      </c>
      <c r="B1" s="17" t="s">
        <v>45</v>
      </c>
      <c r="C1" s="17" t="s">
        <v>30</v>
      </c>
      <c r="D1" s="17" t="s">
        <v>39</v>
      </c>
      <c r="E1" s="17" t="s">
        <v>40</v>
      </c>
      <c r="F1" s="17" t="s">
        <v>41</v>
      </c>
      <c r="G1" s="17" t="s">
        <v>37</v>
      </c>
      <c r="H1" s="17" t="s">
        <v>36</v>
      </c>
      <c r="I1" s="17" t="s">
        <v>38</v>
      </c>
      <c r="J1" s="17" t="s">
        <v>42</v>
      </c>
      <c r="K1" s="17" t="s">
        <v>43</v>
      </c>
      <c r="L1" s="17" t="s">
        <v>44</v>
      </c>
      <c r="M1" s="17" t="s">
        <v>46</v>
      </c>
      <c r="N1" s="20" t="s">
        <v>47</v>
      </c>
      <c r="O1" s="17" t="s">
        <v>54</v>
      </c>
      <c r="P1" s="20" t="s">
        <v>55</v>
      </c>
      <c r="Q1" s="17" t="s">
        <v>53</v>
      </c>
    </row>
    <row r="2" spans="1:17" ht="16.5">
      <c r="A2" s="9" t="s">
        <v>48</v>
      </c>
      <c r="B2" s="18" t="s">
        <v>49</v>
      </c>
      <c r="C2" s="18" t="s">
        <v>50</v>
      </c>
      <c r="D2" s="18" t="s">
        <v>51</v>
      </c>
      <c r="E2" s="18" t="s">
        <v>51</v>
      </c>
      <c r="F2" s="18" t="s">
        <v>51</v>
      </c>
      <c r="G2" s="18" t="s">
        <v>52</v>
      </c>
      <c r="H2" s="18" t="s">
        <v>52</v>
      </c>
      <c r="I2" s="18" t="s">
        <v>52</v>
      </c>
      <c r="J2" s="18">
        <v>1</v>
      </c>
      <c r="K2" s="18">
        <v>1</v>
      </c>
      <c r="L2" s="18">
        <v>1</v>
      </c>
      <c r="M2" s="18" t="s">
        <v>52</v>
      </c>
      <c r="N2" s="18" t="s">
        <v>52</v>
      </c>
      <c r="O2" s="18" t="s">
        <v>57</v>
      </c>
      <c r="P2" s="18" t="s">
        <v>56</v>
      </c>
      <c r="Q2" s="18" t="s">
        <v>58</v>
      </c>
    </row>
    <row r="3" spans="1:17">
      <c r="A3" s="3" t="s">
        <v>26</v>
      </c>
      <c r="B3" s="28">
        <v>220</v>
      </c>
      <c r="C3" s="29">
        <v>12.042771838760874</v>
      </c>
      <c r="D3" s="21">
        <v>-1.03E-2</v>
      </c>
      <c r="E3" s="21">
        <v>0</v>
      </c>
      <c r="F3" s="21">
        <v>-0.29396</v>
      </c>
      <c r="G3" s="10">
        <v>0</v>
      </c>
      <c r="H3" s="10">
        <v>0</v>
      </c>
      <c r="I3" s="10">
        <v>0</v>
      </c>
      <c r="J3" s="48">
        <v>0</v>
      </c>
      <c r="K3" s="48">
        <v>0</v>
      </c>
      <c r="L3" s="48">
        <v>1</v>
      </c>
      <c r="M3" s="60">
        <v>-2.6179938779914944</v>
      </c>
      <c r="N3" s="60">
        <v>2.6179938779914944</v>
      </c>
      <c r="O3" s="67">
        <f>DEGREES(M3)</f>
        <v>-150</v>
      </c>
      <c r="P3" s="67">
        <f>DEGREES(N3)</f>
        <v>150</v>
      </c>
      <c r="Q3" s="74">
        <f>DEGREES(C3)/6</f>
        <v>115</v>
      </c>
    </row>
    <row r="4" spans="1:17">
      <c r="A4" s="3" t="s">
        <v>27</v>
      </c>
      <c r="B4" s="30">
        <v>10</v>
      </c>
      <c r="C4" s="31">
        <v>1</v>
      </c>
      <c r="D4" s="21">
        <v>0</v>
      </c>
      <c r="E4" s="21">
        <v>0</v>
      </c>
      <c r="F4" s="21">
        <v>0</v>
      </c>
      <c r="G4" s="10">
        <v>0</v>
      </c>
      <c r="H4" s="10">
        <v>0</v>
      </c>
      <c r="I4" s="10">
        <v>0</v>
      </c>
      <c r="J4" s="48">
        <v>1</v>
      </c>
      <c r="K4" s="48">
        <v>0</v>
      </c>
      <c r="L4" s="48">
        <v>0</v>
      </c>
      <c r="M4" s="60">
        <v>-0.3490658503988659</v>
      </c>
      <c r="N4" s="60">
        <v>0.3490658503988659</v>
      </c>
      <c r="O4" s="67">
        <f t="shared" ref="O4:O36" si="0">DEGREES(M4)</f>
        <v>-20</v>
      </c>
      <c r="P4" s="67">
        <f t="shared" ref="P4:P36" si="1">DEGREES(N4)</f>
        <v>20</v>
      </c>
      <c r="Q4" s="75">
        <f t="shared" ref="Q4:Q36" si="2">DEGREES(C4)/6</f>
        <v>9.5492965855137211</v>
      </c>
    </row>
    <row r="5" spans="1:17">
      <c r="A5" s="3" t="s">
        <v>28</v>
      </c>
      <c r="B5" s="30">
        <v>10</v>
      </c>
      <c r="C5" s="31">
        <v>1</v>
      </c>
      <c r="D5" s="21">
        <v>-0.02</v>
      </c>
      <c r="E5" s="21">
        <v>0</v>
      </c>
      <c r="F5" s="21">
        <v>5.0000000000000001E-3</v>
      </c>
      <c r="G5" s="10">
        <v>0</v>
      </c>
      <c r="H5" s="10">
        <v>0</v>
      </c>
      <c r="I5" s="10">
        <v>0</v>
      </c>
      <c r="J5" s="48">
        <v>0</v>
      </c>
      <c r="K5" s="48">
        <v>1</v>
      </c>
      <c r="L5" s="48">
        <v>0</v>
      </c>
      <c r="M5" s="60">
        <v>-0.48869219055841229</v>
      </c>
      <c r="N5" s="60">
        <v>0.41887902047863906</v>
      </c>
      <c r="O5" s="67">
        <f t="shared" si="0"/>
        <v>-28</v>
      </c>
      <c r="P5" s="67">
        <f t="shared" si="1"/>
        <v>24</v>
      </c>
      <c r="Q5" s="75">
        <f t="shared" si="2"/>
        <v>9.5492965855137211</v>
      </c>
    </row>
    <row r="6" spans="1:17">
      <c r="A6" t="s">
        <v>31</v>
      </c>
      <c r="B6" s="32">
        <v>6</v>
      </c>
      <c r="C6" s="33">
        <v>12.775810124598491</v>
      </c>
      <c r="D6" s="22">
        <v>3.0300000000000001E-2</v>
      </c>
      <c r="E6" s="22">
        <v>0</v>
      </c>
      <c r="F6" s="22">
        <v>0.28895999999999999</v>
      </c>
      <c r="G6" s="11">
        <v>0</v>
      </c>
      <c r="H6" s="11">
        <v>0</v>
      </c>
      <c r="I6" s="11">
        <v>0</v>
      </c>
      <c r="J6" s="49">
        <v>0</v>
      </c>
      <c r="K6" s="49">
        <v>0</v>
      </c>
      <c r="L6" s="49">
        <v>1</v>
      </c>
      <c r="M6" s="61">
        <v>-0.78539816339744828</v>
      </c>
      <c r="N6" s="61">
        <v>0.78539816339744828</v>
      </c>
      <c r="O6" s="68">
        <f t="shared" si="0"/>
        <v>-45</v>
      </c>
      <c r="P6" s="68">
        <f t="shared" si="1"/>
        <v>45</v>
      </c>
      <c r="Q6" s="76">
        <f t="shared" si="2"/>
        <v>122</v>
      </c>
    </row>
    <row r="7" spans="1:17">
      <c r="A7" s="2" t="s">
        <v>32</v>
      </c>
      <c r="B7" s="34"/>
      <c r="C7" s="35"/>
      <c r="D7" s="23">
        <v>0</v>
      </c>
      <c r="E7" s="23">
        <v>0</v>
      </c>
      <c r="F7" s="23">
        <v>0.11185</v>
      </c>
      <c r="G7" s="12">
        <v>0</v>
      </c>
      <c r="H7" s="12">
        <v>0</v>
      </c>
      <c r="I7" s="12">
        <v>0</v>
      </c>
      <c r="J7" s="50"/>
      <c r="K7" s="50"/>
      <c r="L7" s="50"/>
      <c r="M7" s="62"/>
      <c r="N7" s="62"/>
      <c r="O7" s="69">
        <f t="shared" si="0"/>
        <v>0</v>
      </c>
      <c r="P7" s="69">
        <f t="shared" si="1"/>
        <v>0</v>
      </c>
      <c r="Q7" s="77">
        <f t="shared" si="2"/>
        <v>0</v>
      </c>
    </row>
    <row r="8" spans="1:17">
      <c r="A8" s="5" t="s">
        <v>12</v>
      </c>
      <c r="B8" s="36">
        <v>60</v>
      </c>
      <c r="C8" s="37">
        <v>13.613568165555769</v>
      </c>
      <c r="D8" s="24">
        <v>3.0300000000000001E-2</v>
      </c>
      <c r="E8" s="24">
        <v>0.12</v>
      </c>
      <c r="F8" s="24">
        <v>0.28151999999999999</v>
      </c>
      <c r="G8" s="51">
        <v>8.7265999999999996E-2</v>
      </c>
      <c r="H8" s="13">
        <v>0</v>
      </c>
      <c r="I8" s="13">
        <v>0</v>
      </c>
      <c r="J8" s="55">
        <v>0</v>
      </c>
      <c r="K8" s="55">
        <v>1</v>
      </c>
      <c r="L8" s="55">
        <v>0</v>
      </c>
      <c r="M8" s="63">
        <v>-2.8797932657906435</v>
      </c>
      <c r="N8" s="63">
        <v>2.8797932657906435</v>
      </c>
      <c r="O8" s="70">
        <f t="shared" si="0"/>
        <v>-165</v>
      </c>
      <c r="P8" s="70">
        <f t="shared" si="1"/>
        <v>165</v>
      </c>
      <c r="Q8" s="78">
        <f t="shared" si="2"/>
        <v>129.99999999999997</v>
      </c>
    </row>
    <row r="9" spans="1:17">
      <c r="A9" s="5" t="s">
        <v>13</v>
      </c>
      <c r="B9" s="36">
        <v>60</v>
      </c>
      <c r="C9" s="37">
        <v>13.613568165555769</v>
      </c>
      <c r="D9" s="24">
        <v>0</v>
      </c>
      <c r="E9" s="24">
        <v>8.5324999999999998E-2</v>
      </c>
      <c r="F9" s="24">
        <v>0</v>
      </c>
      <c r="G9" s="51">
        <v>-8.7265999999999996E-2</v>
      </c>
      <c r="H9" s="13">
        <v>0</v>
      </c>
      <c r="I9" s="13">
        <v>0</v>
      </c>
      <c r="J9" s="55">
        <v>1</v>
      </c>
      <c r="K9" s="55">
        <v>0</v>
      </c>
      <c r="L9" s="55">
        <v>0</v>
      </c>
      <c r="M9" s="63">
        <v>-8.7266462599716474E-2</v>
      </c>
      <c r="N9" s="63">
        <v>2.6179938779914944</v>
      </c>
      <c r="O9" s="70">
        <f t="shared" si="0"/>
        <v>-5</v>
      </c>
      <c r="P9" s="70">
        <f t="shared" si="1"/>
        <v>150</v>
      </c>
      <c r="Q9" s="78">
        <f t="shared" si="2"/>
        <v>129.99999999999997</v>
      </c>
    </row>
    <row r="10" spans="1:17">
      <c r="A10" s="5" t="s">
        <v>14</v>
      </c>
      <c r="B10" s="36">
        <v>24</v>
      </c>
      <c r="C10" s="37">
        <v>15.707963267948966</v>
      </c>
      <c r="D10" s="24">
        <v>0</v>
      </c>
      <c r="E10" s="24">
        <v>1.2000000000001501E-2</v>
      </c>
      <c r="F10" s="24">
        <v>-0.14799999999999799</v>
      </c>
      <c r="G10" s="13">
        <v>0</v>
      </c>
      <c r="H10" s="13">
        <v>0</v>
      </c>
      <c r="I10" s="13">
        <v>0</v>
      </c>
      <c r="J10" s="55">
        <v>0</v>
      </c>
      <c r="K10" s="55">
        <v>0</v>
      </c>
      <c r="L10" s="55">
        <v>1</v>
      </c>
      <c r="M10" s="63">
        <v>-2.7925268031909272</v>
      </c>
      <c r="N10" s="63">
        <v>2.7925268031909272</v>
      </c>
      <c r="O10" s="70">
        <f t="shared" si="0"/>
        <v>-160</v>
      </c>
      <c r="P10" s="70">
        <f t="shared" si="1"/>
        <v>160</v>
      </c>
      <c r="Q10" s="78">
        <f t="shared" si="2"/>
        <v>150</v>
      </c>
    </row>
    <row r="11" spans="1:17">
      <c r="A11" s="5" t="s">
        <v>15</v>
      </c>
      <c r="B11" s="36">
        <v>24</v>
      </c>
      <c r="C11" s="37">
        <v>15.707963267948966</v>
      </c>
      <c r="D11" s="24">
        <v>1.4999999999999999E-2</v>
      </c>
      <c r="E11" s="24">
        <v>0</v>
      </c>
      <c r="F11" s="24">
        <v>-0.11700000000000101</v>
      </c>
      <c r="G11" s="13">
        <v>0</v>
      </c>
      <c r="H11" s="13">
        <v>0</v>
      </c>
      <c r="I11" s="13">
        <v>0</v>
      </c>
      <c r="J11" s="55">
        <v>0</v>
      </c>
      <c r="K11" s="55">
        <v>1</v>
      </c>
      <c r="L11" s="55">
        <v>0</v>
      </c>
      <c r="M11" s="63">
        <v>-1.0471975511965976</v>
      </c>
      <c r="N11" s="63">
        <v>2.0943951023931953</v>
      </c>
      <c r="O11" s="70">
        <f t="shared" si="0"/>
        <v>-59.999999999999993</v>
      </c>
      <c r="P11" s="70">
        <f t="shared" si="1"/>
        <v>119.99999999999999</v>
      </c>
      <c r="Q11" s="78">
        <f t="shared" si="2"/>
        <v>150</v>
      </c>
    </row>
    <row r="12" spans="1:17">
      <c r="A12" s="5" t="s">
        <v>16</v>
      </c>
      <c r="B12" s="36">
        <v>24</v>
      </c>
      <c r="C12" s="37">
        <v>15.707963267948966</v>
      </c>
      <c r="D12" s="24">
        <v>0.113</v>
      </c>
      <c r="E12" s="24">
        <v>0</v>
      </c>
      <c r="F12" s="24">
        <v>-1.50000000000012E-2</v>
      </c>
      <c r="G12" s="13">
        <v>0</v>
      </c>
      <c r="H12" s="13">
        <v>0</v>
      </c>
      <c r="I12" s="13">
        <v>0</v>
      </c>
      <c r="J12" s="55">
        <v>1</v>
      </c>
      <c r="K12" s="55">
        <v>0</v>
      </c>
      <c r="L12" s="55">
        <v>0</v>
      </c>
      <c r="M12" s="63">
        <v>-2.7925268031909272</v>
      </c>
      <c r="N12" s="63">
        <v>2.7925268031909272</v>
      </c>
      <c r="O12" s="70">
        <f t="shared" si="0"/>
        <v>-160</v>
      </c>
      <c r="P12" s="70">
        <f t="shared" si="1"/>
        <v>160</v>
      </c>
      <c r="Q12" s="78">
        <f t="shared" si="2"/>
        <v>150</v>
      </c>
    </row>
    <row r="13" spans="1:17">
      <c r="A13" s="5" t="s">
        <v>17</v>
      </c>
      <c r="B13" s="36">
        <v>6</v>
      </c>
      <c r="C13" s="37">
        <v>12.775810124598491</v>
      </c>
      <c r="D13" s="24">
        <v>5.9000000000029598E-2</v>
      </c>
      <c r="E13" s="24">
        <v>0</v>
      </c>
      <c r="F13" s="24">
        <v>0</v>
      </c>
      <c r="G13" s="13">
        <v>0</v>
      </c>
      <c r="H13" s="13">
        <v>0</v>
      </c>
      <c r="I13" s="13">
        <v>0</v>
      </c>
      <c r="J13" s="55">
        <v>0</v>
      </c>
      <c r="K13" s="55">
        <v>1</v>
      </c>
      <c r="L13" s="55">
        <v>0</v>
      </c>
      <c r="M13" s="63">
        <v>-1.6231562043547265</v>
      </c>
      <c r="N13" s="63">
        <v>1.6231562043547265</v>
      </c>
      <c r="O13" s="70">
        <f t="shared" si="0"/>
        <v>-93</v>
      </c>
      <c r="P13" s="70">
        <f t="shared" si="1"/>
        <v>93</v>
      </c>
      <c r="Q13" s="78">
        <f t="shared" si="2"/>
        <v>122</v>
      </c>
    </row>
    <row r="14" spans="1:17">
      <c r="A14" s="5" t="s">
        <v>18</v>
      </c>
      <c r="B14" s="36">
        <v>6</v>
      </c>
      <c r="C14" s="37">
        <v>12.775810124598491</v>
      </c>
      <c r="D14" s="24">
        <v>4.5999999999999902E-2</v>
      </c>
      <c r="E14" s="24">
        <v>0</v>
      </c>
      <c r="F14" s="24">
        <v>0</v>
      </c>
      <c r="G14" s="13">
        <v>0</v>
      </c>
      <c r="H14" s="13">
        <v>0</v>
      </c>
      <c r="I14" s="13">
        <v>0</v>
      </c>
      <c r="J14" s="55">
        <v>0</v>
      </c>
      <c r="K14" s="55">
        <v>0</v>
      </c>
      <c r="L14" s="55">
        <v>1</v>
      </c>
      <c r="M14" s="63">
        <v>-1.6231562043547265</v>
      </c>
      <c r="N14" s="63">
        <v>1.6231562043547265</v>
      </c>
      <c r="O14" s="70">
        <f t="shared" si="0"/>
        <v>-93</v>
      </c>
      <c r="P14" s="70">
        <f t="shared" si="1"/>
        <v>93</v>
      </c>
      <c r="Q14" s="78">
        <f t="shared" si="2"/>
        <v>122</v>
      </c>
    </row>
    <row r="15" spans="1:17">
      <c r="A15" s="5" t="s">
        <v>34</v>
      </c>
      <c r="B15" s="36"/>
      <c r="C15" s="37"/>
      <c r="D15" s="24">
        <v>0</v>
      </c>
      <c r="E15" s="24">
        <v>0</v>
      </c>
      <c r="F15" s="24">
        <v>0</v>
      </c>
      <c r="G15" s="13">
        <v>0</v>
      </c>
      <c r="H15" s="13">
        <v>0</v>
      </c>
      <c r="I15" s="13">
        <v>0</v>
      </c>
      <c r="J15" s="55"/>
      <c r="K15" s="55"/>
      <c r="L15" s="55"/>
      <c r="M15" s="63"/>
      <c r="N15" s="63"/>
      <c r="O15" s="70">
        <f t="shared" si="0"/>
        <v>0</v>
      </c>
      <c r="P15" s="70">
        <f t="shared" si="1"/>
        <v>0</v>
      </c>
      <c r="Q15" s="78">
        <f t="shared" si="2"/>
        <v>0</v>
      </c>
    </row>
    <row r="16" spans="1:17">
      <c r="A16" s="4" t="s">
        <v>19</v>
      </c>
      <c r="B16" s="38">
        <v>60</v>
      </c>
      <c r="C16" s="39">
        <v>13.613568165555769</v>
      </c>
      <c r="D16" s="25">
        <v>3.0300000000000198E-2</v>
      </c>
      <c r="E16" s="25">
        <v>-0.12</v>
      </c>
      <c r="F16" s="25">
        <v>0.281523558637223</v>
      </c>
      <c r="G16" s="52">
        <v>-8.7266462599716793E-2</v>
      </c>
      <c r="H16" s="14">
        <v>0</v>
      </c>
      <c r="I16" s="14">
        <v>0</v>
      </c>
      <c r="J16" s="56">
        <v>0</v>
      </c>
      <c r="K16" s="56">
        <v>1</v>
      </c>
      <c r="L16" s="56">
        <v>0</v>
      </c>
      <c r="M16" s="64">
        <v>-2.87979326579064</v>
      </c>
      <c r="N16" s="64">
        <v>2.8797932657906435</v>
      </c>
      <c r="O16" s="71">
        <f t="shared" si="0"/>
        <v>-164.9999999999998</v>
      </c>
      <c r="P16" s="71">
        <f t="shared" si="1"/>
        <v>165</v>
      </c>
      <c r="Q16" s="79">
        <f t="shared" si="2"/>
        <v>129.99999999999997</v>
      </c>
    </row>
    <row r="17" spans="1:17">
      <c r="A17" s="4" t="s">
        <v>20</v>
      </c>
      <c r="B17" s="38">
        <v>60</v>
      </c>
      <c r="C17" s="39">
        <v>13.613568165555769</v>
      </c>
      <c r="D17" s="25">
        <v>0</v>
      </c>
      <c r="E17" s="25">
        <v>-8.5324686191156796E-2</v>
      </c>
      <c r="F17" s="25">
        <v>0</v>
      </c>
      <c r="G17" s="52">
        <v>8.7266462599716793E-2</v>
      </c>
      <c r="H17" s="14">
        <v>0</v>
      </c>
      <c r="I17" s="14">
        <v>0</v>
      </c>
      <c r="J17" s="56">
        <v>1</v>
      </c>
      <c r="K17" s="56">
        <v>0</v>
      </c>
      <c r="L17" s="56">
        <v>0</v>
      </c>
      <c r="M17" s="64">
        <v>-2.6179938779914944</v>
      </c>
      <c r="N17" s="64">
        <v>8.7266462599716474E-2</v>
      </c>
      <c r="O17" s="71">
        <f t="shared" si="0"/>
        <v>-150</v>
      </c>
      <c r="P17" s="71">
        <f t="shared" si="1"/>
        <v>5</v>
      </c>
      <c r="Q17" s="79">
        <f t="shared" si="2"/>
        <v>129.99999999999997</v>
      </c>
    </row>
    <row r="18" spans="1:17">
      <c r="A18" s="4" t="s">
        <v>21</v>
      </c>
      <c r="B18" s="38">
        <v>24</v>
      </c>
      <c r="C18" s="39">
        <v>15.707963267948966</v>
      </c>
      <c r="D18" s="25">
        <v>0</v>
      </c>
      <c r="E18" s="25">
        <v>-1.19984599105831E-2</v>
      </c>
      <c r="F18" s="25">
        <v>-0.14700013474036699</v>
      </c>
      <c r="G18" s="14">
        <v>0</v>
      </c>
      <c r="H18" s="14">
        <v>0</v>
      </c>
      <c r="I18" s="14">
        <v>0</v>
      </c>
      <c r="J18" s="56">
        <v>0</v>
      </c>
      <c r="K18" s="56">
        <v>0</v>
      </c>
      <c r="L18" s="56">
        <v>1</v>
      </c>
      <c r="M18" s="64">
        <v>-2.7925268031909272</v>
      </c>
      <c r="N18" s="64">
        <v>2.7925268031909272</v>
      </c>
      <c r="O18" s="71">
        <f t="shared" si="0"/>
        <v>-160</v>
      </c>
      <c r="P18" s="71">
        <f t="shared" si="1"/>
        <v>160</v>
      </c>
      <c r="Q18" s="79">
        <f t="shared" si="2"/>
        <v>150</v>
      </c>
    </row>
    <row r="19" spans="1:17">
      <c r="A19" s="4" t="s">
        <v>22</v>
      </c>
      <c r="B19" s="38">
        <v>24</v>
      </c>
      <c r="C19" s="39">
        <v>15.707963267948966</v>
      </c>
      <c r="D19" s="25">
        <v>1.4999999999999399E-2</v>
      </c>
      <c r="E19" s="25">
        <v>0</v>
      </c>
      <c r="F19" s="25">
        <v>-0.11799999999999999</v>
      </c>
      <c r="G19" s="14">
        <v>0</v>
      </c>
      <c r="H19" s="14">
        <v>0</v>
      </c>
      <c r="I19" s="14">
        <v>0</v>
      </c>
      <c r="J19" s="56">
        <v>0</v>
      </c>
      <c r="K19" s="56">
        <v>1</v>
      </c>
      <c r="L19" s="56">
        <v>0</v>
      </c>
      <c r="M19" s="64">
        <v>-1.0471975511965976</v>
      </c>
      <c r="N19" s="64">
        <v>2.0943951023931953</v>
      </c>
      <c r="O19" s="71">
        <f t="shared" si="0"/>
        <v>-59.999999999999993</v>
      </c>
      <c r="P19" s="71">
        <f t="shared" si="1"/>
        <v>119.99999999999999</v>
      </c>
      <c r="Q19" s="79">
        <f t="shared" si="2"/>
        <v>150</v>
      </c>
    </row>
    <row r="20" spans="1:17">
      <c r="A20" s="4" t="s">
        <v>23</v>
      </c>
      <c r="B20" s="38">
        <v>24</v>
      </c>
      <c r="C20" s="39">
        <v>15.707963267948966</v>
      </c>
      <c r="D20" s="25">
        <v>0.113000000000002</v>
      </c>
      <c r="E20" s="25">
        <v>0</v>
      </c>
      <c r="F20" s="25">
        <v>-1.49999999999992E-2</v>
      </c>
      <c r="G20" s="14">
        <v>0</v>
      </c>
      <c r="H20" s="14">
        <v>0</v>
      </c>
      <c r="I20" s="14">
        <v>0</v>
      </c>
      <c r="J20" s="56">
        <v>1</v>
      </c>
      <c r="K20" s="56">
        <v>0</v>
      </c>
      <c r="L20" s="56">
        <v>0</v>
      </c>
      <c r="M20" s="64">
        <v>-2.7925268031909272</v>
      </c>
      <c r="N20" s="64">
        <v>2.7925268031909272</v>
      </c>
      <c r="O20" s="71">
        <f t="shared" si="0"/>
        <v>-160</v>
      </c>
      <c r="P20" s="71">
        <f t="shared" si="1"/>
        <v>160</v>
      </c>
      <c r="Q20" s="79">
        <f t="shared" si="2"/>
        <v>150</v>
      </c>
    </row>
    <row r="21" spans="1:17">
      <c r="A21" s="4" t="s">
        <v>24</v>
      </c>
      <c r="B21" s="38">
        <v>6</v>
      </c>
      <c r="C21" s="39">
        <v>12.775810124598491</v>
      </c>
      <c r="D21" s="25">
        <v>5.9000000000029501E-2</v>
      </c>
      <c r="E21" s="25">
        <v>0</v>
      </c>
      <c r="F21" s="25">
        <v>0</v>
      </c>
      <c r="G21" s="14">
        <v>0</v>
      </c>
      <c r="H21" s="14">
        <v>0</v>
      </c>
      <c r="I21" s="14">
        <v>0</v>
      </c>
      <c r="J21" s="56">
        <v>0</v>
      </c>
      <c r="K21" s="56">
        <v>1</v>
      </c>
      <c r="L21" s="56">
        <v>0</v>
      </c>
      <c r="M21" s="64">
        <v>-1.6231562043547265</v>
      </c>
      <c r="N21" s="64">
        <v>1.6231562043547265</v>
      </c>
      <c r="O21" s="71">
        <f t="shared" si="0"/>
        <v>-93</v>
      </c>
      <c r="P21" s="71">
        <f t="shared" si="1"/>
        <v>93</v>
      </c>
      <c r="Q21" s="79">
        <f t="shared" si="2"/>
        <v>122</v>
      </c>
    </row>
    <row r="22" spans="1:17">
      <c r="A22" s="4" t="s">
        <v>25</v>
      </c>
      <c r="B22" s="38">
        <v>6</v>
      </c>
      <c r="C22" s="39">
        <v>12.775810124598491</v>
      </c>
      <c r="D22" s="25">
        <v>4.5999999999999701E-2</v>
      </c>
      <c r="E22" s="25">
        <v>0</v>
      </c>
      <c r="F22" s="25">
        <v>0</v>
      </c>
      <c r="G22" s="14">
        <v>0</v>
      </c>
      <c r="H22" s="14">
        <v>0</v>
      </c>
      <c r="I22" s="14">
        <v>0</v>
      </c>
      <c r="J22" s="56">
        <v>0</v>
      </c>
      <c r="K22" s="56">
        <v>0</v>
      </c>
      <c r="L22" s="56">
        <v>1</v>
      </c>
      <c r="M22" s="64">
        <v>-1.6231562043547265</v>
      </c>
      <c r="N22" s="64">
        <v>1.6231562043547265</v>
      </c>
      <c r="O22" s="71">
        <f t="shared" si="0"/>
        <v>-93</v>
      </c>
      <c r="P22" s="71">
        <f t="shared" si="1"/>
        <v>93</v>
      </c>
      <c r="Q22" s="79">
        <f t="shared" si="2"/>
        <v>122</v>
      </c>
    </row>
    <row r="23" spans="1:17">
      <c r="A23" s="4" t="s">
        <v>35</v>
      </c>
      <c r="B23" s="38"/>
      <c r="C23" s="39"/>
      <c r="D23" s="25">
        <v>0</v>
      </c>
      <c r="E23" s="25">
        <v>0</v>
      </c>
      <c r="F23" s="25">
        <v>0</v>
      </c>
      <c r="G23" s="14">
        <v>0</v>
      </c>
      <c r="H23" s="14">
        <v>0</v>
      </c>
      <c r="I23" s="14">
        <v>0</v>
      </c>
      <c r="J23" s="56"/>
      <c r="K23" s="56"/>
      <c r="L23" s="56"/>
      <c r="M23" s="64"/>
      <c r="N23" s="64"/>
      <c r="O23" s="71">
        <f t="shared" si="0"/>
        <v>0</v>
      </c>
      <c r="P23" s="71">
        <f t="shared" si="1"/>
        <v>0</v>
      </c>
      <c r="Q23" s="79">
        <f t="shared" si="2"/>
        <v>0</v>
      </c>
    </row>
    <row r="24" spans="1:17">
      <c r="A24" s="2" t="s">
        <v>33</v>
      </c>
      <c r="B24" s="34"/>
      <c r="C24" s="35"/>
      <c r="D24" s="23">
        <v>-1.3169999999999999E-2</v>
      </c>
      <c r="E24" s="23">
        <v>0</v>
      </c>
      <c r="F24" s="23">
        <v>-0.50410999999999995</v>
      </c>
      <c r="G24" s="12">
        <v>0</v>
      </c>
      <c r="H24" s="12">
        <v>0</v>
      </c>
      <c r="I24" s="12">
        <v>0</v>
      </c>
      <c r="J24" s="57"/>
      <c r="K24" s="57"/>
      <c r="L24" s="57"/>
      <c r="M24" s="62"/>
      <c r="N24" s="62"/>
      <c r="O24" s="69">
        <f t="shared" si="0"/>
        <v>0</v>
      </c>
      <c r="P24" s="69">
        <f t="shared" si="1"/>
        <v>0</v>
      </c>
      <c r="Q24" s="77">
        <f t="shared" si="2"/>
        <v>0</v>
      </c>
    </row>
    <row r="25" spans="1:17">
      <c r="A25" s="6" t="s">
        <v>1</v>
      </c>
      <c r="B25" s="40">
        <v>220</v>
      </c>
      <c r="C25" s="41">
        <v>12.042771838760874</v>
      </c>
      <c r="D25" s="26">
        <v>-1.03E-2</v>
      </c>
      <c r="E25" s="26">
        <v>0.12</v>
      </c>
      <c r="F25" s="26">
        <v>-0.47040999999999999</v>
      </c>
      <c r="G25" s="53">
        <v>-0.26179999999999998</v>
      </c>
      <c r="H25" s="15">
        <v>0</v>
      </c>
      <c r="I25" s="15">
        <v>0</v>
      </c>
      <c r="J25" s="58">
        <v>0</v>
      </c>
      <c r="K25" s="58">
        <v>1</v>
      </c>
      <c r="L25" s="58">
        <v>0</v>
      </c>
      <c r="M25" s="65">
        <v>-2.6878070480712672</v>
      </c>
      <c r="N25" s="65">
        <v>2.9321531433504737</v>
      </c>
      <c r="O25" s="72">
        <f t="shared" si="0"/>
        <v>-154</v>
      </c>
      <c r="P25" s="72">
        <f t="shared" si="1"/>
        <v>168</v>
      </c>
      <c r="Q25" s="80">
        <f t="shared" si="2"/>
        <v>115</v>
      </c>
    </row>
    <row r="26" spans="1:17">
      <c r="A26" s="6" t="s">
        <v>2</v>
      </c>
      <c r="B26" s="40">
        <v>220</v>
      </c>
      <c r="C26" s="41">
        <v>12.042771838760874</v>
      </c>
      <c r="D26" s="26">
        <v>1.6302583047418599E-2</v>
      </c>
      <c r="E26" s="26">
        <v>0</v>
      </c>
      <c r="F26" s="26">
        <v>-6.5020184535061906E-2</v>
      </c>
      <c r="G26" s="53">
        <v>0.26179999999999998</v>
      </c>
      <c r="H26" s="15">
        <v>0</v>
      </c>
      <c r="I26" s="15">
        <v>0</v>
      </c>
      <c r="J26" s="58">
        <v>1</v>
      </c>
      <c r="K26" s="58">
        <v>0</v>
      </c>
      <c r="L26" s="58">
        <v>0</v>
      </c>
      <c r="M26" s="65">
        <v>-0.69813170079773179</v>
      </c>
      <c r="N26" s="65">
        <v>1.2217304763960306</v>
      </c>
      <c r="O26" s="72">
        <f t="shared" si="0"/>
        <v>-40</v>
      </c>
      <c r="P26" s="72">
        <f t="shared" si="1"/>
        <v>70</v>
      </c>
      <c r="Q26" s="80">
        <f t="shared" si="2"/>
        <v>115</v>
      </c>
    </row>
    <row r="27" spans="1:17">
      <c r="A27" s="6" t="s">
        <v>0</v>
      </c>
      <c r="B27" s="40">
        <v>220</v>
      </c>
      <c r="C27" s="41">
        <v>12.042771838760874</v>
      </c>
      <c r="D27" s="26">
        <v>0</v>
      </c>
      <c r="E27" s="26">
        <v>0</v>
      </c>
      <c r="F27" s="26">
        <v>0</v>
      </c>
      <c r="G27" s="15">
        <v>0</v>
      </c>
      <c r="H27" s="15">
        <v>0</v>
      </c>
      <c r="I27" s="15">
        <v>0</v>
      </c>
      <c r="J27" s="58">
        <v>0</v>
      </c>
      <c r="K27" s="58">
        <v>0</v>
      </c>
      <c r="L27" s="58">
        <v>1</v>
      </c>
      <c r="M27" s="65">
        <v>-2.7576202181510405</v>
      </c>
      <c r="N27" s="65">
        <v>2.7576202181510405</v>
      </c>
      <c r="O27" s="72">
        <f t="shared" si="0"/>
        <v>-158</v>
      </c>
      <c r="P27" s="72">
        <f t="shared" si="1"/>
        <v>158</v>
      </c>
      <c r="Q27" s="80">
        <f t="shared" si="2"/>
        <v>115</v>
      </c>
    </row>
    <row r="28" spans="1:17">
      <c r="A28" s="6" t="s">
        <v>3</v>
      </c>
      <c r="B28" s="40">
        <v>320</v>
      </c>
      <c r="C28" s="41">
        <v>14.660765716752367</v>
      </c>
      <c r="D28" s="26">
        <v>-1.6302583048081201E-2</v>
      </c>
      <c r="E28" s="26">
        <v>0</v>
      </c>
      <c r="F28" s="26">
        <v>-0.370000000000686</v>
      </c>
      <c r="G28" s="15">
        <v>0</v>
      </c>
      <c r="H28" s="15">
        <v>0</v>
      </c>
      <c r="I28" s="15">
        <v>0</v>
      </c>
      <c r="J28" s="58">
        <v>0</v>
      </c>
      <c r="K28" s="58">
        <v>1</v>
      </c>
      <c r="L28" s="58">
        <v>0</v>
      </c>
      <c r="M28" s="65">
        <v>-0.12217304763960307</v>
      </c>
      <c r="N28" s="65">
        <v>2.4434609527920612</v>
      </c>
      <c r="O28" s="72">
        <f t="shared" si="0"/>
        <v>-7</v>
      </c>
      <c r="P28" s="72">
        <f t="shared" si="1"/>
        <v>140</v>
      </c>
      <c r="Q28" s="80">
        <f t="shared" si="2"/>
        <v>140</v>
      </c>
    </row>
    <row r="29" spans="1:17">
      <c r="A29" s="6" t="s">
        <v>4</v>
      </c>
      <c r="B29" s="44">
        <v>10</v>
      </c>
      <c r="C29" s="45">
        <v>1</v>
      </c>
      <c r="D29" s="26">
        <v>0</v>
      </c>
      <c r="E29" s="26">
        <v>2.0001359868915299E-4</v>
      </c>
      <c r="F29" s="26">
        <v>-0.41499999998465698</v>
      </c>
      <c r="G29" s="15">
        <v>0</v>
      </c>
      <c r="H29" s="15">
        <v>0</v>
      </c>
      <c r="I29" s="15">
        <v>0</v>
      </c>
      <c r="J29" s="58">
        <v>0</v>
      </c>
      <c r="K29" s="58">
        <v>1</v>
      </c>
      <c r="L29" s="58">
        <v>0</v>
      </c>
      <c r="M29" s="65">
        <v>-0.9075712110370513</v>
      </c>
      <c r="N29" s="65">
        <v>0.52359877559829882</v>
      </c>
      <c r="O29" s="72">
        <f t="shared" si="0"/>
        <v>-52</v>
      </c>
      <c r="P29" s="72">
        <f t="shared" si="1"/>
        <v>29.999999999999996</v>
      </c>
      <c r="Q29" s="81">
        <f t="shared" si="2"/>
        <v>9.5492965855137211</v>
      </c>
    </row>
    <row r="30" spans="1:17">
      <c r="A30" s="6" t="s">
        <v>5</v>
      </c>
      <c r="B30" s="44">
        <v>10</v>
      </c>
      <c r="C30" s="45">
        <v>1</v>
      </c>
      <c r="D30" s="26">
        <v>0</v>
      </c>
      <c r="E30" s="26">
        <v>0</v>
      </c>
      <c r="F30" s="26">
        <v>0</v>
      </c>
      <c r="G30" s="15">
        <v>0</v>
      </c>
      <c r="H30" s="15">
        <v>0</v>
      </c>
      <c r="I30" s="15">
        <v>0</v>
      </c>
      <c r="J30" s="58">
        <v>1</v>
      </c>
      <c r="K30" s="58">
        <v>0</v>
      </c>
      <c r="L30" s="58">
        <v>0</v>
      </c>
      <c r="M30" s="65">
        <v>-0.3490658503988659</v>
      </c>
      <c r="N30" s="65">
        <v>0.3490658503988659</v>
      </c>
      <c r="O30" s="72">
        <f t="shared" si="0"/>
        <v>-20</v>
      </c>
      <c r="P30" s="72">
        <f t="shared" si="1"/>
        <v>20</v>
      </c>
      <c r="Q30" s="81">
        <f t="shared" si="2"/>
        <v>9.5492965855137211</v>
      </c>
    </row>
    <row r="31" spans="1:17">
      <c r="A31" s="7" t="s">
        <v>7</v>
      </c>
      <c r="B31" s="42">
        <v>220</v>
      </c>
      <c r="C31" s="43">
        <v>12.042771838760874</v>
      </c>
      <c r="D31" s="27">
        <v>-1.02999999999539E-2</v>
      </c>
      <c r="E31" s="27">
        <v>-0.12</v>
      </c>
      <c r="F31" s="27">
        <v>-0.47041399812867302</v>
      </c>
      <c r="G31" s="54">
        <v>0.26179938779916001</v>
      </c>
      <c r="H31" s="16">
        <v>0</v>
      </c>
      <c r="I31" s="16">
        <v>0</v>
      </c>
      <c r="J31" s="59">
        <v>0</v>
      </c>
      <c r="K31" s="59">
        <v>1</v>
      </c>
      <c r="L31" s="59">
        <v>0</v>
      </c>
      <c r="M31" s="66">
        <v>-2.6878070480712672</v>
      </c>
      <c r="N31" s="66">
        <v>2.9321531433504737</v>
      </c>
      <c r="O31" s="73">
        <f t="shared" si="0"/>
        <v>-154</v>
      </c>
      <c r="P31" s="73">
        <f t="shared" si="1"/>
        <v>168</v>
      </c>
      <c r="Q31" s="82">
        <f t="shared" si="2"/>
        <v>115</v>
      </c>
    </row>
    <row r="32" spans="1:17">
      <c r="A32" s="7" t="s">
        <v>8</v>
      </c>
      <c r="B32" s="42">
        <v>220</v>
      </c>
      <c r="C32" s="43">
        <v>12.042771838760874</v>
      </c>
      <c r="D32" s="27">
        <v>1.6302583047426999E-2</v>
      </c>
      <c r="E32" s="27">
        <v>0</v>
      </c>
      <c r="F32" s="27">
        <v>-6.50201845350587E-2</v>
      </c>
      <c r="G32" s="54">
        <v>-0.26179938779916001</v>
      </c>
      <c r="H32" s="16">
        <v>0</v>
      </c>
      <c r="I32" s="16">
        <v>0</v>
      </c>
      <c r="J32" s="59">
        <v>1</v>
      </c>
      <c r="K32" s="59">
        <v>0</v>
      </c>
      <c r="L32" s="59">
        <v>0</v>
      </c>
      <c r="M32" s="66">
        <v>-1.2217304763960306</v>
      </c>
      <c r="N32" s="66">
        <v>0.69813170079773179</v>
      </c>
      <c r="O32" s="73">
        <f t="shared" si="0"/>
        <v>-70</v>
      </c>
      <c r="P32" s="73">
        <f t="shared" si="1"/>
        <v>40</v>
      </c>
      <c r="Q32" s="82">
        <f t="shared" si="2"/>
        <v>115</v>
      </c>
    </row>
    <row r="33" spans="1:17">
      <c r="A33" s="7" t="s">
        <v>6</v>
      </c>
      <c r="B33" s="42">
        <v>220</v>
      </c>
      <c r="C33" s="43">
        <v>12.042771838760874</v>
      </c>
      <c r="D33" s="27">
        <v>0</v>
      </c>
      <c r="E33" s="27">
        <v>0</v>
      </c>
      <c r="F33" s="27">
        <v>0</v>
      </c>
      <c r="G33" s="16">
        <v>0</v>
      </c>
      <c r="H33" s="16">
        <v>0</v>
      </c>
      <c r="I33" s="16">
        <v>0</v>
      </c>
      <c r="J33" s="59">
        <v>0</v>
      </c>
      <c r="K33" s="59">
        <v>0</v>
      </c>
      <c r="L33" s="59">
        <v>1</v>
      </c>
      <c r="M33" s="66">
        <v>-2.7576202181510405</v>
      </c>
      <c r="N33" s="66">
        <v>2.7576202181510405</v>
      </c>
      <c r="O33" s="73">
        <f t="shared" si="0"/>
        <v>-158</v>
      </c>
      <c r="P33" s="73">
        <f t="shared" si="1"/>
        <v>158</v>
      </c>
      <c r="Q33" s="82">
        <f t="shared" si="2"/>
        <v>115</v>
      </c>
    </row>
    <row r="34" spans="1:17">
      <c r="A34" s="7" t="s">
        <v>9</v>
      </c>
      <c r="B34" s="42">
        <v>320</v>
      </c>
      <c r="C34" s="43">
        <v>14.660765716752367</v>
      </c>
      <c r="D34" s="27">
        <v>-1.6302583048078301E-2</v>
      </c>
      <c r="E34" s="27">
        <v>0</v>
      </c>
      <c r="F34" s="27">
        <v>-0.370000000000683</v>
      </c>
      <c r="G34" s="16">
        <v>0</v>
      </c>
      <c r="H34" s="16">
        <v>0</v>
      </c>
      <c r="I34" s="16">
        <v>0</v>
      </c>
      <c r="J34" s="59">
        <v>0</v>
      </c>
      <c r="K34" s="59">
        <v>1</v>
      </c>
      <c r="L34" s="59">
        <v>0</v>
      </c>
      <c r="M34" s="66">
        <v>-0.12217304763960307</v>
      </c>
      <c r="N34" s="66">
        <v>2.4434609527920612</v>
      </c>
      <c r="O34" s="73">
        <f t="shared" si="0"/>
        <v>-7</v>
      </c>
      <c r="P34" s="73">
        <f t="shared" si="1"/>
        <v>140</v>
      </c>
      <c r="Q34" s="82">
        <f t="shared" si="2"/>
        <v>140</v>
      </c>
    </row>
    <row r="35" spans="1:17">
      <c r="A35" s="7" t="s">
        <v>10</v>
      </c>
      <c r="B35" s="46">
        <v>10</v>
      </c>
      <c r="C35" s="47">
        <v>1</v>
      </c>
      <c r="D35" s="27">
        <v>0</v>
      </c>
      <c r="E35" s="27">
        <v>-2.0001359867319299E-4</v>
      </c>
      <c r="F35" s="27">
        <v>-0.41499999999999498</v>
      </c>
      <c r="G35" s="16">
        <v>0</v>
      </c>
      <c r="H35" s="16">
        <v>0</v>
      </c>
      <c r="I35" s="16">
        <v>0</v>
      </c>
      <c r="J35" s="59">
        <v>0</v>
      </c>
      <c r="K35" s="59">
        <v>1</v>
      </c>
      <c r="L35" s="59">
        <v>0</v>
      </c>
      <c r="M35" s="66">
        <v>-0.9075712110370513</v>
      </c>
      <c r="N35" s="66">
        <v>0.52359877559829882</v>
      </c>
      <c r="O35" s="73">
        <f t="shared" si="0"/>
        <v>-52</v>
      </c>
      <c r="P35" s="73">
        <f t="shared" si="1"/>
        <v>29.999999999999996</v>
      </c>
      <c r="Q35" s="83">
        <f t="shared" si="2"/>
        <v>9.5492965855137211</v>
      </c>
    </row>
    <row r="36" spans="1:17">
      <c r="A36" s="7" t="s">
        <v>11</v>
      </c>
      <c r="B36" s="46">
        <v>10</v>
      </c>
      <c r="C36" s="47">
        <v>1</v>
      </c>
      <c r="D36" s="27">
        <v>0</v>
      </c>
      <c r="E36" s="27">
        <v>0</v>
      </c>
      <c r="F36" s="27">
        <v>0</v>
      </c>
      <c r="G36" s="16">
        <v>0</v>
      </c>
      <c r="H36" s="16">
        <v>0</v>
      </c>
      <c r="I36" s="16">
        <v>0</v>
      </c>
      <c r="J36" s="59">
        <v>1</v>
      </c>
      <c r="K36" s="59">
        <v>0</v>
      </c>
      <c r="L36" s="59">
        <v>0</v>
      </c>
      <c r="M36" s="66">
        <v>-0.3490658503988659</v>
      </c>
      <c r="N36" s="66">
        <v>0.3490658503988659</v>
      </c>
      <c r="O36" s="73">
        <f t="shared" si="0"/>
        <v>-20</v>
      </c>
      <c r="P36" s="73">
        <f t="shared" si="1"/>
        <v>20</v>
      </c>
      <c r="Q36" s="83">
        <f t="shared" si="2"/>
        <v>9.5492965855137211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I34"/>
  <sheetViews>
    <sheetView workbookViewId="0">
      <selection activeCell="D25" sqref="A1:N34"/>
    </sheetView>
  </sheetViews>
  <sheetFormatPr defaultRowHeight="14.25"/>
  <cols>
    <col min="1" max="1" width="24.625" customWidth="1"/>
  </cols>
  <sheetData>
    <row r="1" spans="7:9">
      <c r="G1" s="8"/>
      <c r="H1" s="8"/>
      <c r="I1" s="8"/>
    </row>
    <row r="2" spans="7:9">
      <c r="G2" s="8"/>
      <c r="H2" s="8"/>
      <c r="I2" s="8"/>
    </row>
    <row r="3" spans="7:9">
      <c r="G3" s="8"/>
      <c r="H3" s="8"/>
      <c r="I3" s="8"/>
    </row>
    <row r="4" spans="7:9">
      <c r="G4" s="8"/>
      <c r="H4" s="8"/>
      <c r="I4" s="8"/>
    </row>
    <row r="5" spans="7:9">
      <c r="G5" s="8"/>
      <c r="H5" s="8"/>
      <c r="I5" s="8"/>
    </row>
    <row r="6" spans="7:9">
      <c r="G6" s="8"/>
      <c r="H6" s="8"/>
      <c r="I6" s="8"/>
    </row>
    <row r="7" spans="7:9">
      <c r="G7" s="8"/>
      <c r="H7" s="8"/>
      <c r="I7" s="8"/>
    </row>
    <row r="8" spans="7:9">
      <c r="G8" s="8"/>
      <c r="H8" s="8"/>
      <c r="I8" s="8"/>
    </row>
    <row r="9" spans="7:9">
      <c r="G9" s="8"/>
      <c r="H9" s="8"/>
      <c r="I9" s="8"/>
    </row>
    <row r="10" spans="7:9">
      <c r="G10" s="8"/>
      <c r="H10" s="8"/>
      <c r="I10" s="8"/>
    </row>
    <row r="11" spans="7:9">
      <c r="G11" s="8"/>
      <c r="H11" s="8"/>
      <c r="I11" s="8"/>
    </row>
    <row r="12" spans="7:9">
      <c r="G12" s="8"/>
      <c r="H12" s="8"/>
      <c r="I12" s="8"/>
    </row>
    <row r="13" spans="7:9">
      <c r="G13" s="8"/>
      <c r="H13" s="8"/>
      <c r="I13" s="8"/>
    </row>
    <row r="14" spans="7:9">
      <c r="G14" s="8"/>
      <c r="H14" s="8"/>
      <c r="I14" s="8"/>
    </row>
    <row r="15" spans="7:9">
      <c r="G15" s="8"/>
      <c r="H15" s="8"/>
      <c r="I15" s="8"/>
    </row>
    <row r="16" spans="7:9">
      <c r="G16" s="8"/>
      <c r="H16" s="8"/>
      <c r="I16" s="8"/>
    </row>
    <row r="17" spans="7:9">
      <c r="G17" s="8"/>
      <c r="H17" s="8"/>
      <c r="I17" s="8"/>
    </row>
    <row r="18" spans="7:9">
      <c r="G18" s="8"/>
      <c r="H18" s="8"/>
      <c r="I18" s="8"/>
    </row>
    <row r="19" spans="7:9">
      <c r="G19" s="8"/>
      <c r="H19" s="8"/>
      <c r="I19" s="8"/>
    </row>
    <row r="20" spans="7:9">
      <c r="G20" s="8"/>
      <c r="H20" s="8"/>
      <c r="I20" s="8"/>
    </row>
    <row r="21" spans="7:9">
      <c r="G21" s="8"/>
      <c r="H21" s="8"/>
      <c r="I21" s="8"/>
    </row>
    <row r="22" spans="7:9">
      <c r="G22" s="8"/>
      <c r="H22" s="8"/>
      <c r="I22" s="8"/>
    </row>
    <row r="23" spans="7:9">
      <c r="G23" s="8"/>
      <c r="H23" s="8"/>
      <c r="I23" s="8"/>
    </row>
    <row r="24" spans="7:9">
      <c r="G24" s="8"/>
      <c r="H24" s="8"/>
      <c r="I24" s="8"/>
    </row>
    <row r="25" spans="7:9">
      <c r="G25" s="8"/>
      <c r="H25" s="8"/>
      <c r="I25" s="8"/>
    </row>
    <row r="26" spans="7:9">
      <c r="G26" s="8"/>
      <c r="H26" s="8"/>
      <c r="I26" s="8"/>
    </row>
    <row r="27" spans="7:9">
      <c r="G27" s="8"/>
      <c r="H27" s="8"/>
      <c r="I27" s="8"/>
    </row>
    <row r="28" spans="7:9">
      <c r="G28" s="8"/>
      <c r="H28" s="8"/>
      <c r="I28" s="8"/>
    </row>
    <row r="29" spans="7:9">
      <c r="G29" s="8"/>
      <c r="H29" s="8"/>
      <c r="I29" s="8"/>
    </row>
    <row r="30" spans="7:9">
      <c r="G30" s="8"/>
      <c r="H30" s="8"/>
      <c r="I30" s="8"/>
    </row>
    <row r="31" spans="7:9">
      <c r="G31" s="8"/>
      <c r="H31" s="8"/>
      <c r="I31" s="8"/>
    </row>
    <row r="32" spans="7:9">
      <c r="G32" s="8"/>
      <c r="H32" s="8"/>
      <c r="I32" s="8"/>
    </row>
    <row r="33" spans="7:9">
      <c r="G33" s="8"/>
      <c r="H33" s="8"/>
      <c r="I33" s="8"/>
    </row>
    <row r="34" spans="7:9">
      <c r="G34" s="8"/>
      <c r="H34" s="8"/>
      <c r="I3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2025-08-09T06:23:17Z</dcterms:created>
  <dcterms:modified xsi:type="dcterms:W3CDTF">2025-11-08T08:29:31Z</dcterms:modified>
</cp:coreProperties>
</file>